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ptop back up\WROGN  T SHIRT\AW-20  T-SHIRT\MASSWIN APPARELS\"/>
    </mc:Choice>
  </mc:AlternateContent>
  <xr:revisionPtr revIDLastSave="0" documentId="8_{3039D287-9DB3-4AFB-8637-2BE88A32D86C}" xr6:coauthVersionLast="45" xr6:coauthVersionMax="45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V NECK TEE " sheetId="1" state="hidden" r:id="rId1"/>
    <sheet name="PPS" sheetId="4" r:id="rId2"/>
  </sheets>
  <definedNames>
    <definedName name="_xlnm.Print_Area" localSheetId="1">PPS!$A$1:$T$46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4" l="1"/>
  <c r="J27" i="4" s="1"/>
  <c r="K27" i="4" s="1"/>
  <c r="E27" i="4"/>
  <c r="I23" i="4" l="1"/>
  <c r="J23" i="4" s="1"/>
  <c r="K23" i="4" s="1"/>
  <c r="E23" i="4"/>
  <c r="I22" i="4"/>
  <c r="J22" i="4" s="1"/>
  <c r="K22" i="4" s="1"/>
  <c r="E22" i="4"/>
  <c r="I21" i="4"/>
  <c r="J21" i="4" s="1"/>
  <c r="K21" i="4" s="1"/>
  <c r="E21" i="4"/>
  <c r="I20" i="4"/>
  <c r="J20" i="4" s="1"/>
  <c r="K20" i="4" s="1"/>
  <c r="E20" i="4"/>
  <c r="I26" i="4"/>
  <c r="J26" i="4" s="1"/>
  <c r="K26" i="4" s="1"/>
  <c r="E26" i="4"/>
  <c r="I25" i="4"/>
  <c r="J25" i="4" s="1"/>
  <c r="K25" i="4" s="1"/>
  <c r="E25" i="4"/>
  <c r="I24" i="4"/>
  <c r="J24" i="4" s="1"/>
  <c r="K24" i="4" s="1"/>
  <c r="E24" i="4"/>
  <c r="I19" i="4"/>
  <c r="J19" i="4" s="1"/>
  <c r="K19" i="4" s="1"/>
  <c r="E19" i="4"/>
  <c r="I18" i="4"/>
  <c r="J18" i="4" s="1"/>
  <c r="K18" i="4" s="1"/>
  <c r="E18" i="4"/>
  <c r="I17" i="4"/>
  <c r="J17" i="4" s="1"/>
  <c r="K17" i="4" s="1"/>
  <c r="E17" i="4"/>
  <c r="I16" i="4"/>
  <c r="J16" i="4" s="1"/>
  <c r="K16" i="4" s="1"/>
  <c r="E16" i="4"/>
  <c r="I15" i="4"/>
  <c r="J15" i="4" s="1"/>
  <c r="K15" i="4" s="1"/>
  <c r="E15" i="4"/>
  <c r="I14" i="4"/>
  <c r="J14" i="4" s="1"/>
  <c r="K14" i="4" s="1"/>
  <c r="E14" i="4"/>
  <c r="I13" i="4"/>
  <c r="J13" i="4" s="1"/>
  <c r="K13" i="4" s="1"/>
  <c r="E13" i="4"/>
  <c r="I12" i="4"/>
  <c r="J12" i="4" s="1"/>
  <c r="K12" i="4" s="1"/>
  <c r="E12" i="4"/>
  <c r="I11" i="4"/>
  <c r="J11" i="4" s="1"/>
  <c r="K11" i="4" s="1"/>
  <c r="E11" i="4"/>
  <c r="I10" i="4"/>
  <c r="J10" i="4" s="1"/>
  <c r="K10" i="4" s="1"/>
  <c r="E10" i="4"/>
  <c r="I9" i="4"/>
  <c r="J9" i="4" s="1"/>
  <c r="K9" i="4" s="1"/>
  <c r="E9" i="4"/>
  <c r="I18" i="1"/>
  <c r="K18" i="1"/>
  <c r="M18" i="1"/>
  <c r="E18" i="1"/>
  <c r="I22" i="1"/>
  <c r="K22" i="1"/>
  <c r="M22" i="1"/>
  <c r="E22" i="1"/>
  <c r="I21" i="1"/>
  <c r="K21" i="1"/>
  <c r="M21" i="1"/>
  <c r="E21" i="1"/>
  <c r="I20" i="1"/>
  <c r="K20" i="1"/>
  <c r="M20" i="1"/>
  <c r="E20" i="1"/>
  <c r="I19" i="1"/>
  <c r="K19" i="1"/>
  <c r="M19" i="1"/>
  <c r="E19" i="1"/>
  <c r="I17" i="1"/>
  <c r="K17" i="1"/>
  <c r="M17" i="1"/>
  <c r="E17" i="1"/>
  <c r="I16" i="1"/>
  <c r="K16" i="1"/>
  <c r="M16" i="1"/>
  <c r="E16" i="1"/>
  <c r="I15" i="1"/>
  <c r="K15" i="1"/>
  <c r="M15" i="1"/>
  <c r="E15" i="1"/>
  <c r="I14" i="1"/>
  <c r="K14" i="1"/>
  <c r="M14" i="1"/>
  <c r="E14" i="1"/>
  <c r="I13" i="1"/>
  <c r="K13" i="1"/>
  <c r="M13" i="1"/>
  <c r="E13" i="1"/>
  <c r="I12" i="1"/>
  <c r="K12" i="1"/>
  <c r="M12" i="1"/>
  <c r="E12" i="1"/>
  <c r="I11" i="1"/>
  <c r="K11" i="1"/>
  <c r="M11" i="1"/>
  <c r="E11" i="1"/>
  <c r="I10" i="1"/>
  <c r="K10" i="1"/>
  <c r="M10" i="1"/>
  <c r="E10" i="1"/>
  <c r="I9" i="1"/>
  <c r="K9" i="1"/>
  <c r="M9" i="1"/>
  <c r="E9" i="1"/>
</calcChain>
</file>

<file path=xl/sharedStrings.xml><?xml version="1.0" encoding="utf-8"?>
<sst xmlns="http://schemas.openxmlformats.org/spreadsheetml/2006/main" count="243" uniqueCount="128">
  <si>
    <t>S</t>
  </si>
  <si>
    <t>M</t>
  </si>
  <si>
    <t>L</t>
  </si>
  <si>
    <t>XL</t>
  </si>
  <si>
    <t>GARMENT  TECHNICAL DATA FORM</t>
  </si>
  <si>
    <t xml:space="preserve">BUYER </t>
  </si>
  <si>
    <t>USPL</t>
  </si>
  <si>
    <t>Brand</t>
  </si>
  <si>
    <t>WROGN</t>
  </si>
  <si>
    <t>Season</t>
  </si>
  <si>
    <t xml:space="preserve">Vendor </t>
  </si>
  <si>
    <t>ATITA</t>
  </si>
  <si>
    <t xml:space="preserve">Description : </t>
  </si>
  <si>
    <t xml:space="preserve">Garments wash </t>
  </si>
  <si>
    <t xml:space="preserve">Style No : </t>
  </si>
  <si>
    <t>Department</t>
  </si>
  <si>
    <t>Men's</t>
  </si>
  <si>
    <t xml:space="preserve">Size </t>
  </si>
  <si>
    <t xml:space="preserve">S/XL </t>
  </si>
  <si>
    <t>Fabric</t>
  </si>
  <si>
    <t>Tech</t>
  </si>
  <si>
    <t xml:space="preserve">Kuchela </t>
  </si>
  <si>
    <t xml:space="preserve">Date </t>
  </si>
  <si>
    <t>18th june 2015</t>
  </si>
  <si>
    <t xml:space="preserve">SR no </t>
  </si>
  <si>
    <t>DESCRIPTION</t>
  </si>
  <si>
    <t>Tol (+/-)</t>
  </si>
  <si>
    <t>XXL</t>
  </si>
  <si>
    <t>Neck width from seam to seam</t>
  </si>
  <si>
    <t>1/8</t>
  </si>
  <si>
    <t>Front neck drop from HPS to neck seam</t>
  </si>
  <si>
    <t>Back neck drop from HPS to neck seam</t>
  </si>
  <si>
    <t>0</t>
  </si>
  <si>
    <t>Shoulder width seam to seam</t>
  </si>
  <si>
    <t>1/4</t>
  </si>
  <si>
    <t>Shoulder Slope</t>
  </si>
  <si>
    <t>Across back</t>
  </si>
  <si>
    <t>Chest 1" below Armhole</t>
  </si>
  <si>
    <t>1/2</t>
  </si>
  <si>
    <t>Bottom Sweep relax</t>
  </si>
  <si>
    <t xml:space="preserve">Armhole Curve all round </t>
  </si>
  <si>
    <t>Sleeve length from shoulder seam</t>
  </si>
  <si>
    <t>Biceps 1' Below Arm hole</t>
  </si>
  <si>
    <t>Sleeve Open</t>
  </si>
  <si>
    <t>Front length from HPS</t>
  </si>
  <si>
    <t>v neck tee</t>
  </si>
  <si>
    <t xml:space="preserve">V NECK TEE </t>
  </si>
  <si>
    <t>AW-15</t>
  </si>
  <si>
    <t>OK</t>
  </si>
  <si>
    <t>+1/2</t>
  </si>
  <si>
    <t>-1/8</t>
  </si>
  <si>
    <t>+1/4</t>
  </si>
  <si>
    <t>-1/4</t>
  </si>
  <si>
    <t>+3/8</t>
  </si>
  <si>
    <t>-3/4</t>
  </si>
  <si>
    <t>+3/4</t>
  </si>
  <si>
    <t>-5/8</t>
  </si>
  <si>
    <t>+1/8</t>
  </si>
  <si>
    <t>-1/2</t>
  </si>
  <si>
    <t>-3/8</t>
  </si>
  <si>
    <t>-1</t>
  </si>
  <si>
    <t>+5/8</t>
  </si>
  <si>
    <t>Size set comments on 18th june 2015</t>
  </si>
  <si>
    <t xml:space="preserve">Noticed neck shape is totally off strictly not acceptable. Pls improve neck shape.the same issues found in bulk shipment will be rejected. </t>
  </si>
  <si>
    <t xml:space="preserve">Neck width and neck drop to be reduced,Pls folow as per Given spec. </t>
  </si>
  <si>
    <t xml:space="preserve">All body measurements convert in INCHES, pls follow as per Given spec. </t>
  </si>
  <si>
    <t xml:space="preserve">Noticed shoulder point is standing out strictly not acceotable. Pls folow proper shoulder slope. </t>
  </si>
  <si>
    <t xml:space="preserve">Noticed sleeve fabric graineline is off strictly not acceptable. Sleeve center folding fabric graineline should be straight, Pls cut fabric accordingl. </t>
  </si>
  <si>
    <t xml:space="preserve">Backneck seam twill tape should be pre-shrink before attaching. </t>
  </si>
  <si>
    <t xml:space="preserve">Noticed Neck V point is center out strictly not acceptable.pls re-submit sample for approval. </t>
  </si>
  <si>
    <t xml:space="preserve">Sample rejected for neck shape off, Re-submit PPS with incorporate all above mentioned comments </t>
  </si>
  <si>
    <t xml:space="preserve">Moon patch with </t>
  </si>
  <si>
    <t xml:space="preserve">Neck Rib height </t>
  </si>
  <si>
    <t xml:space="preserve">Across front middle of armhole </t>
  </si>
  <si>
    <t xml:space="preserve">Across back middl of armhole </t>
  </si>
  <si>
    <t xml:space="preserve">Moon patch at CB neck seam </t>
  </si>
  <si>
    <t>GARMENT  ENGINEERING SHEET</t>
  </si>
  <si>
    <t>UNIVERSAL SPORTSBIZ PVT LTD</t>
  </si>
  <si>
    <t xml:space="preserve">Style No </t>
  </si>
  <si>
    <t>BRAND</t>
  </si>
  <si>
    <t>DIVISION</t>
  </si>
  <si>
    <t>SIZE RANGE</t>
  </si>
  <si>
    <t>Description</t>
  </si>
  <si>
    <t>SEASON</t>
  </si>
  <si>
    <t>SAMPLE BASE SIZE</t>
  </si>
  <si>
    <t>Fabric type</t>
  </si>
  <si>
    <t>FIT TECHNICIAN</t>
  </si>
  <si>
    <t>VENDOR</t>
  </si>
  <si>
    <t>A</t>
  </si>
  <si>
    <t>B</t>
  </si>
  <si>
    <t>R</t>
  </si>
  <si>
    <t>Y1</t>
  </si>
  <si>
    <t>-</t>
  </si>
  <si>
    <t>D</t>
  </si>
  <si>
    <t>E</t>
  </si>
  <si>
    <t>F</t>
  </si>
  <si>
    <t>G</t>
  </si>
  <si>
    <t>H</t>
  </si>
  <si>
    <t>I</t>
  </si>
  <si>
    <t xml:space="preserve">Y </t>
  </si>
  <si>
    <t>SAMPLE</t>
  </si>
  <si>
    <t xml:space="preserve">S/XXL </t>
  </si>
  <si>
    <t>All trims &amp; artwork take approval from the category.</t>
  </si>
  <si>
    <t xml:space="preserve">GREEN TAG NUMBER </t>
  </si>
  <si>
    <t>CATEGORY COMMENTS</t>
  </si>
  <si>
    <t>Sleeve underarm length</t>
  </si>
  <si>
    <t>Biceps 1" Below Arm hole</t>
  </si>
  <si>
    <t>Sleeve opening at edge</t>
  </si>
  <si>
    <t>CREW NECK HALF SLEEVE T - SHIRT</t>
  </si>
  <si>
    <t>MASSWIN</t>
  </si>
  <si>
    <t>ANIL</t>
  </si>
  <si>
    <t>NOOS</t>
  </si>
  <si>
    <t>Print registration need to be fixed properly in bulk.</t>
  </si>
  <si>
    <t>Highlighted measurements are out of tolerance not acceptable. pls incorporate in bulk production.</t>
  </si>
  <si>
    <t>PPS IS APPROVED WITH COMMENTS,</t>
  </si>
  <si>
    <t>Bottom shape is uneven and wavy  not acceptable, hem needs to be straight and flat to be maintain and improve the handling also.</t>
  </si>
  <si>
    <t>WITS-1220</t>
  </si>
  <si>
    <t>Chest print placement from neck seam</t>
  </si>
  <si>
    <t>Front neck shape is very poor strictly not ok, It should be smooth curve as per pattern and improve the handling also.</t>
  </si>
  <si>
    <t>Left Side logo label placement is ok, Pls maintain the same for bulk.</t>
  </si>
  <si>
    <t>OK FOR FABRIC, PRINT COLOR HAS TO BE MATCH ORIGINAL,</t>
  </si>
  <si>
    <t xml:space="preserve">OK FOR TRIMS AND HANDFEEL, </t>
  </si>
  <si>
    <t>OK FOR STYLING.</t>
  </si>
  <si>
    <t>PP COMMENTED DTD ON 11-01-2021</t>
  </si>
  <si>
    <t>Front length is bigger the  back panel strictly not acceptable, Front and back  length has to be even required and meet given spec.</t>
  </si>
  <si>
    <t>Front print bit too slant not ok, It must be follow slightly slant as per last season production, (pls refer Myntra image for bulk.)</t>
  </si>
  <si>
    <t>Noticed fabric hairiness in sample is not acceptable, Pls reconfirm with category before start bulk.</t>
  </si>
  <si>
    <t>uspl07476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</si>
</sst>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/8"/>
  </numFmts>
  <fonts count="22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indexed="8"/>
      <name val="Bookman Old Style"/>
      <family val="1"/>
    </font>
    <font>
      <sz val="12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rgb="FFFF0000"/>
      <name val="Bookman Old Style"/>
      <family val="1"/>
    </font>
    <font>
      <sz val="14"/>
      <color theme="1"/>
      <name val="Bookman Old Style"/>
      <family val="1"/>
    </font>
    <font>
      <b/>
      <sz val="10"/>
      <name val="Bookman Old Style"/>
      <family val="1"/>
    </font>
    <font>
      <sz val="14"/>
      <color theme="1"/>
      <name val="Calibri"/>
      <family val="2"/>
      <scheme val="minor"/>
    </font>
    <font>
      <sz val="14"/>
      <name val="Bookman Old Style"/>
      <family val="1"/>
    </font>
    <font>
      <b/>
      <sz val="14"/>
      <name val="Bookman Old Style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Bookman Old Style"/>
      <family val="1"/>
    </font>
    <font>
      <sz val="11"/>
      <color rgb="FF000000"/>
      <name val="Bookman Old Style"/>
      <family val="1"/>
    </font>
    <font>
      <b/>
      <sz val="12"/>
      <color theme="1"/>
      <name val="Bookman Old Style"/>
      <family val="1"/>
    </font>
    <font>
      <sz val="12"/>
      <color rgb="FFFF0000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17" fillId="0" borderId="0"/>
    <xf numFmtId="0" fontId="2" fillId="0" borderId="0"/>
    <xf numFmtId="0" fontId="2" fillId="0" borderId="0"/>
  </cellStyleXfs>
  <cellXfs count="103">
    <xf numFmtId="0" fontId="0" fillId="0" borderId="0" xfId="0"/>
    <xf numFmtId="0" fontId="1" fillId="2" borderId="0" xfId="0" applyFont="1" applyFill="1" applyAlignment="1"/>
    <xf numFmtId="0" fontId="1" fillId="2" borderId="2" xfId="1" applyNumberFormat="1" applyFont="1" applyFill="1" applyBorder="1" applyAlignment="1" applyProtection="1">
      <alignment vertical="center"/>
    </xf>
    <xf numFmtId="0" fontId="1" fillId="2" borderId="3" xfId="1" applyNumberFormat="1" applyFont="1" applyFill="1" applyBorder="1" applyAlignment="1" applyProtection="1">
      <alignment vertical="center"/>
    </xf>
    <xf numFmtId="0" fontId="1" fillId="2" borderId="4" xfId="1" applyNumberFormat="1" applyFont="1" applyFill="1" applyBorder="1" applyAlignment="1" applyProtection="1">
      <alignment vertic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1" fillId="2" borderId="1" xfId="1" applyNumberFormat="1" applyFont="1" applyFill="1" applyBorder="1" applyAlignment="1" applyProtection="1"/>
    <xf numFmtId="0" fontId="1" fillId="2" borderId="4" xfId="1" applyNumberFormat="1" applyFont="1" applyFill="1" applyBorder="1" applyAlignment="1" applyProtection="1"/>
    <xf numFmtId="0" fontId="1" fillId="2" borderId="2" xfId="1" applyNumberFormat="1" applyFont="1" applyFill="1" applyBorder="1" applyAlignment="1" applyProtection="1"/>
    <xf numFmtId="0" fontId="1" fillId="2" borderId="3" xfId="1" applyNumberFormat="1" applyFont="1" applyFill="1" applyBorder="1" applyAlignment="1" applyProtection="1">
      <alignment horizontal="center"/>
    </xf>
    <xf numFmtId="0" fontId="1" fillId="2" borderId="3" xfId="1" applyNumberFormat="1" applyFont="1" applyFill="1" applyBorder="1" applyAlignment="1" applyProtection="1"/>
    <xf numFmtId="14" fontId="1" fillId="2" borderId="2" xfId="1" applyNumberFormat="1" applyFont="1" applyFill="1" applyBorder="1" applyAlignment="1" applyProtection="1"/>
    <xf numFmtId="14" fontId="1" fillId="2" borderId="3" xfId="1" applyNumberFormat="1" applyFont="1" applyFill="1" applyBorder="1" applyAlignment="1" applyProtection="1"/>
    <xf numFmtId="0" fontId="3" fillId="0" borderId="0" xfId="0" applyFont="1"/>
    <xf numFmtId="0" fontId="1" fillId="2" borderId="1" xfId="0" applyFont="1" applyFill="1" applyBorder="1" applyAlignment="1"/>
    <xf numFmtId="0" fontId="4" fillId="0" borderId="1" xfId="0" applyFont="1" applyBorder="1" applyAlignment="1">
      <alignment horizontal="left"/>
    </xf>
    <xf numFmtId="0" fontId="1" fillId="2" borderId="2" xfId="1" applyNumberFormat="1" applyFont="1" applyFill="1" applyBorder="1" applyAlignment="1" applyProtection="1">
      <alignment horizontal="center"/>
    </xf>
    <xf numFmtId="49" fontId="1" fillId="2" borderId="1" xfId="1" applyNumberFormat="1" applyFont="1" applyFill="1" applyBorder="1" applyAlignment="1" applyProtection="1">
      <alignment horizontal="center" wrapText="1"/>
    </xf>
    <xf numFmtId="0" fontId="1" fillId="2" borderId="1" xfId="1" applyNumberFormat="1" applyFont="1" applyFill="1" applyBorder="1" applyAlignment="1" applyProtection="1">
      <alignment horizontal="center" wrapText="1"/>
    </xf>
    <xf numFmtId="0" fontId="1" fillId="2" borderId="1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2" fontId="5" fillId="2" borderId="1" xfId="0" applyNumberFormat="1" applyFont="1" applyFill="1" applyBorder="1" applyAlignment="1" applyProtection="1">
      <alignment horizontal="center"/>
    </xf>
    <xf numFmtId="12" fontId="1" fillId="2" borderId="1" xfId="0" applyNumberFormat="1" applyFont="1" applyFill="1" applyBorder="1" applyAlignment="1">
      <alignment horizontal="center"/>
    </xf>
    <xf numFmtId="12" fontId="5" fillId="2" borderId="1" xfId="1" quotePrefix="1" applyNumberFormat="1" applyFont="1" applyFill="1" applyBorder="1" applyAlignment="1" applyProtection="1"/>
    <xf numFmtId="12" fontId="5" fillId="2" borderId="1" xfId="1" quotePrefix="1" applyNumberFormat="1" applyFont="1" applyFill="1" applyBorder="1" applyAlignment="1" applyProtection="1">
      <alignment horizontal="center"/>
    </xf>
    <xf numFmtId="12" fontId="5" fillId="2" borderId="1" xfId="0" applyNumberFormat="1" applyFont="1" applyFill="1" applyBorder="1" applyAlignment="1">
      <alignment horizontal="center"/>
    </xf>
    <xf numFmtId="12" fontId="1" fillId="2" borderId="1" xfId="0" applyNumberFormat="1" applyFont="1" applyFill="1" applyBorder="1" applyAlignment="1"/>
    <xf numFmtId="12" fontId="1" fillId="2" borderId="1" xfId="0" applyNumberFormat="1" applyFont="1" applyFill="1" applyBorder="1" applyAlignment="1" applyProtection="1">
      <alignment horizontal="center"/>
    </xf>
    <xf numFmtId="12" fontId="1" fillId="2" borderId="1" xfId="1" quotePrefix="1" applyNumberFormat="1" applyFont="1" applyFill="1" applyBorder="1" applyAlignment="1" applyProtection="1">
      <alignment horizontal="center"/>
    </xf>
    <xf numFmtId="12" fontId="1" fillId="2" borderId="1" xfId="1" quotePrefix="1" applyNumberFormat="1" applyFont="1" applyFill="1" applyBorder="1" applyAlignment="1" applyProtection="1"/>
    <xf numFmtId="0" fontId="1" fillId="2" borderId="0" xfId="0" applyFont="1" applyFill="1" applyAlignment="1">
      <alignment horizontal="center"/>
    </xf>
    <xf numFmtId="49" fontId="5" fillId="2" borderId="1" xfId="0" applyNumberFormat="1" applyFont="1" applyFill="1" applyBorder="1" applyAlignment="1" applyProtection="1">
      <alignment horizontal="center"/>
    </xf>
    <xf numFmtId="49" fontId="1" fillId="2" borderId="1" xfId="0" applyNumberFormat="1" applyFont="1" applyFill="1" applyBorder="1" applyAlignment="1" applyProtection="1">
      <alignment horizontal="center"/>
    </xf>
    <xf numFmtId="0" fontId="6" fillId="2" borderId="0" xfId="0" applyFont="1" applyFill="1" applyAlignment="1"/>
    <xf numFmtId="0" fontId="6" fillId="2" borderId="0" xfId="1" applyNumberFormat="1" applyFont="1" applyFill="1" applyBorder="1" applyAlignment="1" applyProtection="1"/>
    <xf numFmtId="0" fontId="6" fillId="2" borderId="0" xfId="1" applyNumberFormat="1" applyFont="1" applyFill="1" applyBorder="1" applyAlignment="1" applyProtection="1">
      <alignment horizontal="center"/>
    </xf>
    <xf numFmtId="0" fontId="7" fillId="0" borderId="0" xfId="0" applyFont="1"/>
    <xf numFmtId="0" fontId="6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0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2" fontId="5" fillId="2" borderId="1" xfId="0" applyNumberFormat="1" applyFont="1" applyFill="1" applyBorder="1" applyAlignment="1" applyProtection="1"/>
    <xf numFmtId="12" fontId="5" fillId="2" borderId="1" xfId="0" applyNumberFormat="1" applyFont="1" applyFill="1" applyBorder="1" applyAlignment="1"/>
    <xf numFmtId="0" fontId="11" fillId="0" borderId="0" xfId="0" applyFont="1"/>
    <xf numFmtId="0" fontId="3" fillId="0" borderId="5" xfId="0" applyFont="1" applyBorder="1"/>
    <xf numFmtId="0" fontId="3" fillId="0" borderId="6" xfId="0" applyFont="1" applyBorder="1"/>
    <xf numFmtId="0" fontId="15" fillId="0" borderId="0" xfId="0" applyFont="1"/>
    <xf numFmtId="0" fontId="1" fillId="2" borderId="2" xfId="1" applyNumberFormat="1" applyFont="1" applyFill="1" applyBorder="1" applyAlignment="1" applyProtection="1">
      <alignment horizontal="center"/>
    </xf>
    <xf numFmtId="14" fontId="1" fillId="2" borderId="2" xfId="1" applyNumberFormat="1" applyFont="1" applyFill="1" applyBorder="1" applyAlignment="1" applyProtection="1">
      <alignment horizontal="center"/>
    </xf>
    <xf numFmtId="0" fontId="14" fillId="2" borderId="0" xfId="0" applyFont="1" applyFill="1" applyAlignment="1">
      <alignment horizontal="center"/>
    </xf>
    <xf numFmtId="49" fontId="1" fillId="0" borderId="1" xfId="1" applyNumberFormat="1" applyFont="1" applyFill="1" applyBorder="1" applyAlignment="1" applyProtection="1">
      <alignment horizontal="center" wrapText="1"/>
    </xf>
    <xf numFmtId="12" fontId="6" fillId="0" borderId="0" xfId="0" applyNumberFormat="1" applyFont="1"/>
    <xf numFmtId="0" fontId="16" fillId="0" borderId="0" xfId="0" applyFont="1"/>
    <xf numFmtId="0" fontId="11" fillId="2" borderId="0" xfId="0" applyFont="1" applyFill="1"/>
    <xf numFmtId="0" fontId="19" fillId="0" borderId="0" xfId="0" applyFont="1" applyAlignment="1">
      <alignment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49" fontId="1" fillId="2" borderId="0" xfId="0" applyNumberFormat="1" applyFont="1" applyFill="1" applyBorder="1" applyAlignment="1">
      <alignment horizontal="center"/>
    </xf>
    <xf numFmtId="12" fontId="5" fillId="2" borderId="0" xfId="0" applyNumberFormat="1" applyFont="1" applyFill="1" applyBorder="1" applyAlignment="1" applyProtection="1"/>
    <xf numFmtId="12" fontId="1" fillId="2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 applyProtection="1">
      <alignment horizontal="center" vertical="center"/>
    </xf>
    <xf numFmtId="12" fontId="5" fillId="2" borderId="0" xfId="1" quotePrefix="1" applyNumberFormat="1" applyFont="1" applyFill="1" applyBorder="1" applyAlignment="1" applyProtection="1">
      <alignment horizontal="center"/>
    </xf>
    <xf numFmtId="12" fontId="5" fillId="2" borderId="0" xfId="0" applyNumberFormat="1" applyFont="1" applyFill="1" applyBorder="1" applyAlignment="1"/>
    <xf numFmtId="0" fontId="1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20" fillId="0" borderId="0" xfId="0" applyFont="1"/>
    <xf numFmtId="0" fontId="11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0" borderId="0" xfId="2" applyFont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/>
    <xf numFmtId="49" fontId="1" fillId="0" borderId="2" xfId="0" applyNumberFormat="1" applyFont="1" applyFill="1" applyBorder="1" applyAlignment="1">
      <alignment horizontal="center"/>
    </xf>
    <xf numFmtId="12" fontId="5" fillId="0" borderId="1" xfId="0" applyNumberFormat="1" applyFont="1" applyFill="1" applyBorder="1" applyAlignment="1">
      <alignment horizontal="center"/>
    </xf>
    <xf numFmtId="12" fontId="1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12" fontId="5" fillId="0" borderId="1" xfId="1" quotePrefix="1" applyNumberFormat="1" applyFont="1" applyFill="1" applyBorder="1" applyAlignment="1">
      <alignment horizontal="center"/>
    </xf>
    <xf numFmtId="0" fontId="0" fillId="0" borderId="0" xfId="0" applyFill="1"/>
    <xf numFmtId="0" fontId="8" fillId="0" borderId="0" xfId="0" applyFont="1" applyBorder="1" applyAlignment="1">
      <alignment horizontal="left"/>
    </xf>
    <xf numFmtId="0" fontId="12" fillId="2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2" xfId="1" applyNumberFormat="1" applyFont="1" applyFill="1" applyBorder="1" applyAlignment="1" applyProtection="1">
      <alignment horizontal="left"/>
    </xf>
    <xf numFmtId="0" fontId="1" fillId="2" borderId="4" xfId="1" applyNumberFormat="1" applyFont="1" applyFill="1" applyBorder="1" applyAlignment="1" applyProtection="1">
      <alignment horizontal="left"/>
    </xf>
    <xf numFmtId="0" fontId="21" fillId="2" borderId="0" xfId="4" applyFont="1" applyFill="1" applyAlignment="1">
      <alignment vertical="center"/>
    </xf>
    <xf numFmtId="49" fontId="12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</cellXfs>
  <cellStyles count="5">
    <cellStyle name="Normal" xfId="0" builtinId="0"/>
    <cellStyle name="Normal 2" xfId="2" xr:uid="{00000000-0005-0000-0000-000001000000}"/>
    <cellStyle name="Normal 2 2" xfId="4" xr:uid="{B5C31415-40FC-4E31-BC7A-3B71CF236F7C}"/>
    <cellStyle name="Normal 4" xfId="3" xr:uid="{00000000-0005-0000-0000-000002000000}"/>
    <cellStyle name="Normal_KNITWEAR DATA SHEET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2</xdr:row>
      <xdr:rowOff>9525</xdr:rowOff>
    </xdr:from>
    <xdr:to>
      <xdr:col>10</xdr:col>
      <xdr:colOff>733426</xdr:colOff>
      <xdr:row>5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67750" y="514350"/>
          <a:ext cx="1409701" cy="73342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505736</xdr:colOff>
      <xdr:row>1</xdr:row>
      <xdr:rowOff>228600</xdr:rowOff>
    </xdr:from>
    <xdr:to>
      <xdr:col>19</xdr:col>
      <xdr:colOff>550308</xdr:colOff>
      <xdr:row>31</xdr:row>
      <xdr:rowOff>239508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2236" y="419100"/>
          <a:ext cx="4921372" cy="6306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opLeftCell="A22" workbookViewId="0">
      <selection activeCell="D37" sqref="B37:D38"/>
    </sheetView>
  </sheetViews>
  <sheetFormatPr defaultRowHeight="14.4" x14ac:dyDescent="0.3"/>
  <cols>
    <col min="2" max="2" width="11" customWidth="1"/>
    <col min="3" max="3" width="47.109375" customWidth="1"/>
  </cols>
  <sheetData>
    <row r="1" spans="1:14" x14ac:dyDescent="0.3">
      <c r="A1" s="1"/>
      <c r="B1" s="2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1"/>
    </row>
    <row r="2" spans="1:14" x14ac:dyDescent="0.3">
      <c r="A2" s="1"/>
      <c r="B2" s="5"/>
      <c r="C2" s="6"/>
      <c r="D2" s="7"/>
      <c r="E2" s="6"/>
      <c r="F2" s="6"/>
      <c r="G2" s="7"/>
      <c r="H2" s="6"/>
      <c r="I2" s="6"/>
      <c r="J2" s="6"/>
      <c r="K2" s="6"/>
      <c r="L2" s="6"/>
      <c r="M2" s="8"/>
      <c r="N2" s="1"/>
    </row>
    <row r="3" spans="1:14" x14ac:dyDescent="0.3">
      <c r="A3" s="1"/>
      <c r="B3" s="9" t="s">
        <v>5</v>
      </c>
      <c r="C3" s="10" t="s">
        <v>6</v>
      </c>
      <c r="D3" s="11" t="s">
        <v>7</v>
      </c>
      <c r="E3" s="10"/>
      <c r="F3" s="11" t="s">
        <v>8</v>
      </c>
      <c r="G3" s="12"/>
      <c r="H3" s="11" t="s">
        <v>9</v>
      </c>
      <c r="I3" s="10"/>
      <c r="J3" s="11" t="s">
        <v>47</v>
      </c>
      <c r="K3" s="13"/>
      <c r="L3" s="13"/>
      <c r="M3" s="10"/>
      <c r="N3" s="1"/>
    </row>
    <row r="4" spans="1:14" x14ac:dyDescent="0.3">
      <c r="A4" s="1"/>
      <c r="B4" s="9" t="s">
        <v>10</v>
      </c>
      <c r="C4" s="10" t="s">
        <v>11</v>
      </c>
      <c r="D4" s="11" t="s">
        <v>12</v>
      </c>
      <c r="E4" s="10"/>
      <c r="F4" s="11" t="s">
        <v>46</v>
      </c>
      <c r="G4" s="12"/>
      <c r="H4" s="11" t="s">
        <v>13</v>
      </c>
      <c r="I4" s="10"/>
      <c r="J4" s="11"/>
      <c r="K4" s="13"/>
      <c r="L4" s="13"/>
      <c r="M4" s="10"/>
      <c r="N4" s="1"/>
    </row>
    <row r="5" spans="1:14" x14ac:dyDescent="0.3">
      <c r="A5" s="1"/>
      <c r="B5" s="9" t="s">
        <v>14</v>
      </c>
      <c r="C5" s="10" t="s">
        <v>45</v>
      </c>
      <c r="D5" s="11" t="s">
        <v>15</v>
      </c>
      <c r="E5" s="10"/>
      <c r="F5" s="11" t="s">
        <v>16</v>
      </c>
      <c r="G5" s="12"/>
      <c r="H5" s="11" t="s">
        <v>17</v>
      </c>
      <c r="I5" s="10"/>
      <c r="J5" s="11" t="s">
        <v>18</v>
      </c>
      <c r="K5" s="13"/>
      <c r="L5" s="13"/>
      <c r="M5" s="10"/>
      <c r="N5" s="1"/>
    </row>
    <row r="6" spans="1:14" x14ac:dyDescent="0.3">
      <c r="A6" s="1"/>
      <c r="B6" s="9" t="s">
        <v>19</v>
      </c>
      <c r="C6" s="10"/>
      <c r="D6" s="11" t="s">
        <v>20</v>
      </c>
      <c r="E6" s="10"/>
      <c r="F6" s="11" t="s">
        <v>21</v>
      </c>
      <c r="G6" s="12"/>
      <c r="H6" s="11" t="s">
        <v>22</v>
      </c>
      <c r="I6" s="10"/>
      <c r="J6" s="14" t="s">
        <v>23</v>
      </c>
      <c r="K6" s="15"/>
      <c r="L6" s="15"/>
      <c r="M6" s="10"/>
      <c r="N6" s="1"/>
    </row>
    <row r="7" spans="1:14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3">
      <c r="A8" s="1"/>
      <c r="B8" s="17" t="s">
        <v>24</v>
      </c>
      <c r="C8" s="18" t="s">
        <v>25</v>
      </c>
      <c r="D8" s="19" t="s">
        <v>26</v>
      </c>
      <c r="E8" s="20" t="s">
        <v>0</v>
      </c>
      <c r="F8" s="20"/>
      <c r="G8" s="21" t="s">
        <v>1</v>
      </c>
      <c r="H8" s="20"/>
      <c r="I8" s="20" t="s">
        <v>2</v>
      </c>
      <c r="J8" s="20"/>
      <c r="K8" s="20" t="s">
        <v>3</v>
      </c>
      <c r="L8" s="20"/>
      <c r="M8" s="20" t="s">
        <v>27</v>
      </c>
      <c r="N8" s="1"/>
    </row>
    <row r="9" spans="1:14" x14ac:dyDescent="0.3">
      <c r="A9" s="1"/>
      <c r="B9" s="22">
        <v>1</v>
      </c>
      <c r="C9" s="5" t="s">
        <v>28</v>
      </c>
      <c r="D9" s="23" t="s">
        <v>29</v>
      </c>
      <c r="E9" s="24">
        <f>G9-0.25</f>
        <v>7.25</v>
      </c>
      <c r="F9" s="34" t="s">
        <v>48</v>
      </c>
      <c r="G9" s="25">
        <v>7.5</v>
      </c>
      <c r="H9" s="34" t="s">
        <v>48</v>
      </c>
      <c r="I9" s="26">
        <f>G9+0.25</f>
        <v>7.75</v>
      </c>
      <c r="J9" s="34" t="s">
        <v>51</v>
      </c>
      <c r="K9" s="27">
        <f>I9+0.25</f>
        <v>8</v>
      </c>
      <c r="L9" s="34" t="s">
        <v>52</v>
      </c>
      <c r="M9" s="28">
        <f>K9+0.25</f>
        <v>8.25</v>
      </c>
      <c r="N9" s="1"/>
    </row>
    <row r="10" spans="1:14" x14ac:dyDescent="0.3">
      <c r="A10" s="1"/>
      <c r="B10" s="22">
        <v>2</v>
      </c>
      <c r="C10" s="5" t="s">
        <v>30</v>
      </c>
      <c r="D10" s="23" t="s">
        <v>29</v>
      </c>
      <c r="E10" s="24">
        <f>G10-0.125</f>
        <v>5.875</v>
      </c>
      <c r="F10" s="34" t="s">
        <v>49</v>
      </c>
      <c r="G10" s="25">
        <v>6</v>
      </c>
      <c r="H10" s="34" t="s">
        <v>49</v>
      </c>
      <c r="I10" s="27">
        <f>G10+0.125</f>
        <v>6.125</v>
      </c>
      <c r="J10" s="34" t="s">
        <v>53</v>
      </c>
      <c r="K10" s="27">
        <f>I10+0.125</f>
        <v>6.25</v>
      </c>
      <c r="L10" s="34" t="s">
        <v>61</v>
      </c>
      <c r="M10" s="28">
        <f>K10+0.125</f>
        <v>6.375</v>
      </c>
      <c r="N10" s="1"/>
    </row>
    <row r="11" spans="1:14" x14ac:dyDescent="0.3">
      <c r="A11" s="1"/>
      <c r="B11" s="22">
        <v>3</v>
      </c>
      <c r="C11" s="5" t="s">
        <v>31</v>
      </c>
      <c r="D11" s="23" t="s">
        <v>32</v>
      </c>
      <c r="E11" s="24">
        <f>G11</f>
        <v>1.25</v>
      </c>
      <c r="F11" s="34" t="s">
        <v>50</v>
      </c>
      <c r="G11" s="25">
        <v>1.25</v>
      </c>
      <c r="H11" s="34" t="s">
        <v>52</v>
      </c>
      <c r="I11" s="27">
        <f>G11</f>
        <v>1.25</v>
      </c>
      <c r="J11" s="34" t="s">
        <v>52</v>
      </c>
      <c r="K11" s="27">
        <f>I11</f>
        <v>1.25</v>
      </c>
      <c r="L11" s="34" t="s">
        <v>50</v>
      </c>
      <c r="M11" s="28">
        <f>K11</f>
        <v>1.25</v>
      </c>
      <c r="N11" s="1"/>
    </row>
    <row r="12" spans="1:14" x14ac:dyDescent="0.3">
      <c r="A12" s="1"/>
      <c r="B12" s="22">
        <v>5</v>
      </c>
      <c r="C12" s="5" t="s">
        <v>33</v>
      </c>
      <c r="D12" s="23" t="s">
        <v>34</v>
      </c>
      <c r="E12" s="24">
        <f>G12-1/2</f>
        <v>15.75</v>
      </c>
      <c r="F12" s="34" t="s">
        <v>51</v>
      </c>
      <c r="G12" s="25">
        <v>16.25</v>
      </c>
      <c r="H12" s="34" t="s">
        <v>49</v>
      </c>
      <c r="I12" s="26">
        <f>G12+1/2</f>
        <v>16.75</v>
      </c>
      <c r="J12" s="34" t="s">
        <v>49</v>
      </c>
      <c r="K12" s="27">
        <f>I12+1/2</f>
        <v>17.25</v>
      </c>
      <c r="L12" s="34" t="s">
        <v>49</v>
      </c>
      <c r="M12" s="28">
        <f>K12+1/2</f>
        <v>17.75</v>
      </c>
      <c r="N12" s="1"/>
    </row>
    <row r="13" spans="1:14" x14ac:dyDescent="0.3">
      <c r="A13" s="1"/>
      <c r="B13" s="22">
        <v>6</v>
      </c>
      <c r="C13" s="5" t="s">
        <v>35</v>
      </c>
      <c r="D13" s="23" t="s">
        <v>32</v>
      </c>
      <c r="E13" s="24">
        <f>G13</f>
        <v>1.75</v>
      </c>
      <c r="F13" s="34" t="s">
        <v>52</v>
      </c>
      <c r="G13" s="25">
        <v>1.75</v>
      </c>
      <c r="H13" s="34" t="s">
        <v>52</v>
      </c>
      <c r="I13" s="27">
        <f>G13</f>
        <v>1.75</v>
      </c>
      <c r="J13" s="34" t="s">
        <v>59</v>
      </c>
      <c r="K13" s="27">
        <f>I13</f>
        <v>1.75</v>
      </c>
      <c r="L13" s="34" t="s">
        <v>48</v>
      </c>
      <c r="M13" s="28">
        <f>K13</f>
        <v>1.75</v>
      </c>
      <c r="N13" s="1"/>
    </row>
    <row r="14" spans="1:14" x14ac:dyDescent="0.3">
      <c r="A14" s="1"/>
      <c r="B14" s="22">
        <v>8</v>
      </c>
      <c r="C14" s="5" t="s">
        <v>36</v>
      </c>
      <c r="D14" s="23" t="s">
        <v>34</v>
      </c>
      <c r="E14" s="24">
        <f>G14-1/2</f>
        <v>14.125</v>
      </c>
      <c r="F14" s="34" t="s">
        <v>49</v>
      </c>
      <c r="G14" s="25">
        <v>14.625</v>
      </c>
      <c r="H14" s="34" t="s">
        <v>55</v>
      </c>
      <c r="I14" s="26">
        <f>G14+1/2</f>
        <v>15.125</v>
      </c>
      <c r="J14" s="34" t="s">
        <v>49</v>
      </c>
      <c r="K14" s="27">
        <f>I14+1/2</f>
        <v>15.625</v>
      </c>
      <c r="L14" s="34" t="s">
        <v>61</v>
      </c>
      <c r="M14" s="28">
        <f>K14+1/2</f>
        <v>16.125</v>
      </c>
      <c r="N14" s="1"/>
    </row>
    <row r="15" spans="1:14" x14ac:dyDescent="0.3">
      <c r="A15" s="1"/>
      <c r="B15" s="22">
        <v>8</v>
      </c>
      <c r="C15" s="5" t="s">
        <v>36</v>
      </c>
      <c r="D15" s="23" t="s">
        <v>34</v>
      </c>
      <c r="E15" s="24">
        <f>G15-1/2</f>
        <v>14.875</v>
      </c>
      <c r="F15" s="34" t="s">
        <v>53</v>
      </c>
      <c r="G15" s="25">
        <v>15.375</v>
      </c>
      <c r="H15" s="34" t="s">
        <v>48</v>
      </c>
      <c r="I15" s="26">
        <f>G15+1/2</f>
        <v>15.875</v>
      </c>
      <c r="J15" s="34" t="s">
        <v>50</v>
      </c>
      <c r="K15" s="27">
        <f>I15+1/2</f>
        <v>16.375</v>
      </c>
      <c r="L15" s="34" t="s">
        <v>48</v>
      </c>
      <c r="M15" s="28">
        <f>K15+1/2</f>
        <v>16.875</v>
      </c>
      <c r="N15" s="1"/>
    </row>
    <row r="16" spans="1:14" x14ac:dyDescent="0.3">
      <c r="A16" s="1"/>
      <c r="B16" s="22">
        <v>9</v>
      </c>
      <c r="C16" s="5" t="s">
        <v>37</v>
      </c>
      <c r="D16" s="23" t="s">
        <v>38</v>
      </c>
      <c r="E16" s="24">
        <f>G16-2</f>
        <v>37.5</v>
      </c>
      <c r="F16" s="34" t="s">
        <v>49</v>
      </c>
      <c r="G16" s="25">
        <v>39.5</v>
      </c>
      <c r="H16" s="34" t="s">
        <v>48</v>
      </c>
      <c r="I16" s="27">
        <f>G16+2</f>
        <v>41.5</v>
      </c>
      <c r="J16" s="34" t="s">
        <v>60</v>
      </c>
      <c r="K16" s="27">
        <f>I16+2</f>
        <v>43.5</v>
      </c>
      <c r="L16" s="34" t="s">
        <v>54</v>
      </c>
      <c r="M16" s="28">
        <f>K16+2</f>
        <v>45.5</v>
      </c>
      <c r="N16" s="1"/>
    </row>
    <row r="17" spans="1:14" x14ac:dyDescent="0.3">
      <c r="A17" s="1"/>
      <c r="B17" s="22">
        <v>10</v>
      </c>
      <c r="C17" s="5" t="s">
        <v>39</v>
      </c>
      <c r="D17" s="23" t="s">
        <v>38</v>
      </c>
      <c r="E17" s="24">
        <f>G17-2</f>
        <v>35.75</v>
      </c>
      <c r="F17" s="34" t="s">
        <v>49</v>
      </c>
      <c r="G17" s="25">
        <v>37.75</v>
      </c>
      <c r="H17" s="34" t="s">
        <v>49</v>
      </c>
      <c r="I17" s="27">
        <f>G17+2</f>
        <v>39.75</v>
      </c>
      <c r="J17" s="34" t="s">
        <v>49</v>
      </c>
      <c r="K17" s="27">
        <f>I17+2</f>
        <v>41.75</v>
      </c>
      <c r="L17" s="34" t="s">
        <v>58</v>
      </c>
      <c r="M17" s="28">
        <f>K17+2</f>
        <v>43.75</v>
      </c>
      <c r="N17" s="1"/>
    </row>
    <row r="18" spans="1:14" x14ac:dyDescent="0.3">
      <c r="A18" s="1"/>
      <c r="B18" s="22">
        <v>11</v>
      </c>
      <c r="C18" s="5" t="s">
        <v>40</v>
      </c>
      <c r="D18" s="23" t="s">
        <v>34</v>
      </c>
      <c r="E18" s="24">
        <f>G18-3/4</f>
        <v>18.625</v>
      </c>
      <c r="F18" s="34" t="s">
        <v>54</v>
      </c>
      <c r="G18" s="29">
        <v>19.375</v>
      </c>
      <c r="H18" s="34" t="s">
        <v>56</v>
      </c>
      <c r="I18" s="27">
        <f>G18+3/4</f>
        <v>20.125</v>
      </c>
      <c r="J18" s="34" t="s">
        <v>48</v>
      </c>
      <c r="K18" s="27">
        <f>I18+3/4</f>
        <v>20.875</v>
      </c>
      <c r="L18" s="34" t="s">
        <v>59</v>
      </c>
      <c r="M18" s="28">
        <f>K18+3/4</f>
        <v>21.625</v>
      </c>
      <c r="N18" s="1"/>
    </row>
    <row r="19" spans="1:14" x14ac:dyDescent="0.3">
      <c r="A19" s="1"/>
      <c r="B19" s="22">
        <v>12</v>
      </c>
      <c r="C19" s="5" t="s">
        <v>41</v>
      </c>
      <c r="D19" s="23" t="s">
        <v>29</v>
      </c>
      <c r="E19" s="30">
        <f>G19-0.375</f>
        <v>7.625</v>
      </c>
      <c r="F19" s="35" t="s">
        <v>50</v>
      </c>
      <c r="G19" s="25">
        <v>8</v>
      </c>
      <c r="H19" s="35" t="s">
        <v>57</v>
      </c>
      <c r="I19" s="31">
        <f>G19+0.375</f>
        <v>8.375</v>
      </c>
      <c r="J19" s="35" t="s">
        <v>48</v>
      </c>
      <c r="K19" s="32">
        <f>I19+0.375</f>
        <v>8.75</v>
      </c>
      <c r="L19" s="35" t="s">
        <v>48</v>
      </c>
      <c r="M19" s="25">
        <f>K19+0.375</f>
        <v>9.125</v>
      </c>
      <c r="N19" s="1"/>
    </row>
    <row r="20" spans="1:14" x14ac:dyDescent="0.3">
      <c r="A20" s="1"/>
      <c r="B20" s="22">
        <v>13</v>
      </c>
      <c r="C20" s="5" t="s">
        <v>42</v>
      </c>
      <c r="D20" s="23" t="s">
        <v>34</v>
      </c>
      <c r="E20" s="30">
        <f>G20-0.75</f>
        <v>13.5</v>
      </c>
      <c r="F20" s="35" t="s">
        <v>48</v>
      </c>
      <c r="G20" s="25">
        <v>14.25</v>
      </c>
      <c r="H20" s="35" t="s">
        <v>52</v>
      </c>
      <c r="I20" s="31">
        <f>G20+0.75</f>
        <v>15</v>
      </c>
      <c r="J20" s="35" t="s">
        <v>58</v>
      </c>
      <c r="K20" s="32">
        <f>I20+0.75</f>
        <v>15.75</v>
      </c>
      <c r="L20" s="35" t="s">
        <v>52</v>
      </c>
      <c r="M20" s="25">
        <f>K20+0.75</f>
        <v>16.5</v>
      </c>
      <c r="N20" s="1"/>
    </row>
    <row r="21" spans="1:14" x14ac:dyDescent="0.3">
      <c r="A21" s="1"/>
      <c r="B21" s="22">
        <v>14</v>
      </c>
      <c r="C21" s="5" t="s">
        <v>43</v>
      </c>
      <c r="D21" s="23" t="s">
        <v>34</v>
      </c>
      <c r="E21" s="30">
        <f>G21-0.5</f>
        <v>12</v>
      </c>
      <c r="F21" s="35" t="s">
        <v>48</v>
      </c>
      <c r="G21" s="29">
        <v>12.5</v>
      </c>
      <c r="H21" s="35" t="s">
        <v>51</v>
      </c>
      <c r="I21" s="31">
        <f>G21+0.5</f>
        <v>13</v>
      </c>
      <c r="J21" s="35" t="s">
        <v>52</v>
      </c>
      <c r="K21" s="32">
        <f>I21+0.5</f>
        <v>13.5</v>
      </c>
      <c r="L21" s="35" t="s">
        <v>48</v>
      </c>
      <c r="M21" s="25">
        <f>K21+0.5</f>
        <v>14</v>
      </c>
      <c r="N21" s="1"/>
    </row>
    <row r="22" spans="1:14" x14ac:dyDescent="0.3">
      <c r="A22" s="1"/>
      <c r="B22" s="22">
        <v>15</v>
      </c>
      <c r="C22" s="5" t="s">
        <v>44</v>
      </c>
      <c r="D22" s="23" t="s">
        <v>34</v>
      </c>
      <c r="E22" s="30">
        <f>G22-0.25</f>
        <v>27.25</v>
      </c>
      <c r="F22" s="35" t="s">
        <v>51</v>
      </c>
      <c r="G22" s="25">
        <v>27.5</v>
      </c>
      <c r="H22" s="35" t="s">
        <v>58</v>
      </c>
      <c r="I22" s="32">
        <f>G22+0.5</f>
        <v>28</v>
      </c>
      <c r="J22" s="35" t="s">
        <v>58</v>
      </c>
      <c r="K22" s="32">
        <f>I22+1</f>
        <v>29</v>
      </c>
      <c r="L22" s="35"/>
      <c r="M22" s="25">
        <f>K22+0.5</f>
        <v>29.5</v>
      </c>
      <c r="N22" s="1"/>
    </row>
    <row r="23" spans="1:14" x14ac:dyDescent="0.3">
      <c r="A23" s="1"/>
      <c r="B23" s="1"/>
      <c r="C23" s="1"/>
      <c r="D23" s="33"/>
      <c r="E23" s="1"/>
      <c r="F23" s="1"/>
      <c r="G23" s="33"/>
      <c r="H23" s="1"/>
      <c r="I23" s="1"/>
      <c r="J23" s="1"/>
      <c r="K23" s="1"/>
      <c r="L23" s="1"/>
      <c r="M23" s="1"/>
      <c r="N23" s="1"/>
    </row>
    <row r="24" spans="1:14" s="39" customFormat="1" ht="9" customHeight="1" x14ac:dyDescent="0.3">
      <c r="A24" s="36"/>
      <c r="B24" s="37"/>
      <c r="C24" s="37"/>
      <c r="D24" s="38"/>
      <c r="E24" s="37"/>
      <c r="F24" s="37"/>
      <c r="G24" s="38"/>
      <c r="H24" s="37"/>
      <c r="I24" s="37"/>
      <c r="J24" s="37"/>
      <c r="K24" s="37"/>
      <c r="L24" s="36"/>
      <c r="M24" s="36"/>
      <c r="N24" s="36"/>
    </row>
    <row r="25" spans="1:14" s="41" customFormat="1" ht="21.75" customHeight="1" x14ac:dyDescent="0.3">
      <c r="A25" s="36"/>
      <c r="B25" s="36"/>
      <c r="C25" s="36" t="s">
        <v>62</v>
      </c>
      <c r="D25" s="40"/>
      <c r="E25" s="36"/>
      <c r="F25" s="36"/>
      <c r="G25" s="40"/>
      <c r="H25" s="36"/>
      <c r="I25" s="36"/>
      <c r="J25" s="36"/>
      <c r="K25" s="36"/>
      <c r="L25" s="36"/>
      <c r="M25" s="36"/>
      <c r="N25" s="36"/>
    </row>
    <row r="26" spans="1:14" s="41" customFormat="1" ht="21.75" customHeight="1" x14ac:dyDescent="0.3"/>
    <row r="27" spans="1:14" s="41" customFormat="1" ht="21.75" customHeight="1" x14ac:dyDescent="0.3">
      <c r="C27" s="46" t="s">
        <v>63</v>
      </c>
    </row>
    <row r="28" spans="1:14" s="41" customFormat="1" ht="21.75" customHeight="1" x14ac:dyDescent="0.3">
      <c r="C28" s="41" t="s">
        <v>64</v>
      </c>
    </row>
    <row r="29" spans="1:14" s="41" customFormat="1" ht="21.75" customHeight="1" x14ac:dyDescent="0.3">
      <c r="C29" s="41" t="s">
        <v>65</v>
      </c>
    </row>
    <row r="30" spans="1:14" s="41" customFormat="1" ht="21.75" customHeight="1" x14ac:dyDescent="0.3">
      <c r="C30" s="41" t="s">
        <v>66</v>
      </c>
    </row>
    <row r="31" spans="1:14" s="41" customFormat="1" ht="21.75" customHeight="1" x14ac:dyDescent="0.3">
      <c r="A31" s="92"/>
      <c r="B31" s="92"/>
      <c r="C31" s="43" t="s">
        <v>67</v>
      </c>
      <c r="D31" s="44"/>
      <c r="E31" s="44"/>
      <c r="F31" s="44"/>
      <c r="G31" s="44"/>
      <c r="H31" s="45"/>
      <c r="I31" s="45"/>
      <c r="J31" s="45"/>
    </row>
    <row r="32" spans="1:14" s="41" customFormat="1" ht="21.75" customHeight="1" x14ac:dyDescent="0.3">
      <c r="C32" s="41" t="s">
        <v>68</v>
      </c>
    </row>
    <row r="33" spans="3:3" s="41" customFormat="1" ht="21.75" customHeight="1" x14ac:dyDescent="0.3">
      <c r="C33" s="46" t="s">
        <v>69</v>
      </c>
    </row>
    <row r="34" spans="3:3" s="41" customFormat="1" ht="21.75" customHeight="1" x14ac:dyDescent="0.3"/>
    <row r="35" spans="3:3" s="41" customFormat="1" ht="21.75" customHeight="1" x14ac:dyDescent="0.3">
      <c r="C35" s="41" t="s">
        <v>70</v>
      </c>
    </row>
    <row r="36" spans="3:3" s="41" customFormat="1" ht="21.75" customHeight="1" x14ac:dyDescent="0.3"/>
    <row r="37" spans="3:3" s="41" customFormat="1" ht="21.75" customHeight="1" x14ac:dyDescent="0.3"/>
    <row r="38" spans="3:3" s="41" customFormat="1" ht="21.75" customHeight="1" x14ac:dyDescent="0.3"/>
    <row r="39" spans="3:3" s="41" customFormat="1" ht="21.75" customHeight="1" x14ac:dyDescent="0.3"/>
    <row r="40" spans="3:3" s="41" customFormat="1" ht="21.75" customHeight="1" x14ac:dyDescent="0.3"/>
    <row r="41" spans="3:3" s="41" customFormat="1" ht="21.75" customHeight="1" x14ac:dyDescent="0.3"/>
    <row r="42" spans="3:3" s="41" customFormat="1" ht="21.75" customHeight="1" x14ac:dyDescent="0.3"/>
    <row r="43" spans="3:3" s="41" customFormat="1" ht="21.75" customHeight="1" x14ac:dyDescent="0.3"/>
    <row r="44" spans="3:3" s="41" customFormat="1" ht="21.75" customHeight="1" x14ac:dyDescent="0.3"/>
    <row r="45" spans="3:3" s="42" customFormat="1" ht="21.75" customHeight="1" x14ac:dyDescent="0.25"/>
    <row r="46" spans="3:3" s="42" customFormat="1" ht="21.75" customHeight="1" x14ac:dyDescent="0.25"/>
    <row r="47" spans="3:3" s="42" customFormat="1" ht="21.75" customHeight="1" x14ac:dyDescent="0.25"/>
  </sheetData>
  <mergeCells count="1">
    <mergeCell ref="A31:B3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49"/>
  <sheetViews>
    <sheetView showGridLines="0" tabSelected="1" zoomScaleNormal="100" workbookViewId="0">
      <selection activeCell="H5" sqref="H5"/>
    </sheetView>
  </sheetViews>
  <sheetFormatPr defaultRowHeight="14.4" x14ac:dyDescent="0.3"/>
  <cols>
    <col min="1" max="1" width="3" customWidth="1"/>
    <col min="2" max="2" width="11" customWidth="1"/>
    <col min="3" max="3" width="47.109375" customWidth="1"/>
    <col min="4" max="11" width="11.33203125" customWidth="1"/>
  </cols>
  <sheetData>
    <row r="2" spans="1:11" s="16" customFormat="1" ht="24.9" customHeight="1" x14ac:dyDescent="0.25">
      <c r="A2" s="1"/>
      <c r="B2" s="93" t="s">
        <v>76</v>
      </c>
      <c r="C2" s="93"/>
      <c r="D2" s="93"/>
      <c r="E2" s="93"/>
      <c r="F2" s="93"/>
      <c r="G2" s="93"/>
      <c r="H2" s="93"/>
      <c r="I2" s="93"/>
      <c r="J2" s="93"/>
      <c r="K2" s="93"/>
    </row>
    <row r="3" spans="1:11" s="16" customFormat="1" ht="15" customHeight="1" x14ac:dyDescent="0.25">
      <c r="A3" s="1"/>
      <c r="B3" s="9" t="s">
        <v>5</v>
      </c>
      <c r="C3" s="9" t="s">
        <v>77</v>
      </c>
      <c r="D3" s="11" t="s">
        <v>78</v>
      </c>
      <c r="E3" s="10"/>
      <c r="F3" s="13" t="s">
        <v>116</v>
      </c>
      <c r="G3" s="11" t="s">
        <v>103</v>
      </c>
      <c r="H3" s="11"/>
      <c r="I3" s="56" t="s">
        <v>127</v>
      </c>
      <c r="J3" s="53"/>
      <c r="K3" s="94"/>
    </row>
    <row r="4" spans="1:11" s="16" customFormat="1" ht="15" customHeight="1" x14ac:dyDescent="0.25">
      <c r="A4" s="1"/>
      <c r="B4" s="9" t="s">
        <v>79</v>
      </c>
      <c r="C4" s="9" t="s">
        <v>8</v>
      </c>
      <c r="D4" s="13" t="s">
        <v>80</v>
      </c>
      <c r="E4" s="10"/>
      <c r="F4" s="11" t="s">
        <v>16</v>
      </c>
      <c r="G4" s="11" t="s">
        <v>81</v>
      </c>
      <c r="H4" s="11"/>
      <c r="I4" s="56" t="s">
        <v>101</v>
      </c>
      <c r="J4" s="54"/>
      <c r="K4" s="94"/>
    </row>
    <row r="5" spans="1:11" s="16" customFormat="1" ht="15" customHeight="1" x14ac:dyDescent="0.25">
      <c r="A5" s="1"/>
      <c r="B5" s="9" t="s">
        <v>82</v>
      </c>
      <c r="C5" s="9" t="s">
        <v>108</v>
      </c>
      <c r="D5" s="13" t="s">
        <v>83</v>
      </c>
      <c r="E5" s="10"/>
      <c r="F5" s="11" t="s">
        <v>111</v>
      </c>
      <c r="G5" s="11" t="s">
        <v>84</v>
      </c>
      <c r="H5" s="11"/>
      <c r="I5" s="56" t="s">
        <v>1</v>
      </c>
      <c r="J5" s="54"/>
      <c r="K5" s="94"/>
    </row>
    <row r="6" spans="1:11" s="16" customFormat="1" ht="15" customHeight="1" x14ac:dyDescent="0.25">
      <c r="A6" s="1"/>
      <c r="B6" s="9" t="s">
        <v>85</v>
      </c>
      <c r="C6" s="9"/>
      <c r="D6" s="13" t="s">
        <v>86</v>
      </c>
      <c r="E6" s="10"/>
      <c r="F6" s="11" t="s">
        <v>110</v>
      </c>
      <c r="G6" s="95" t="s">
        <v>87</v>
      </c>
      <c r="H6" s="96"/>
      <c r="I6" s="57" t="s">
        <v>109</v>
      </c>
      <c r="J6" s="54"/>
      <c r="K6" s="94"/>
    </row>
    <row r="7" spans="1:11" s="16" customFormat="1" ht="15" customHeight="1" x14ac:dyDescent="0.25">
      <c r="B7" s="47"/>
      <c r="C7" s="48"/>
      <c r="D7" s="48"/>
      <c r="E7" s="48"/>
      <c r="F7" s="48"/>
      <c r="G7" s="48"/>
      <c r="H7" s="48"/>
      <c r="I7" s="48"/>
      <c r="J7" s="48"/>
      <c r="K7" s="49"/>
    </row>
    <row r="8" spans="1:11" x14ac:dyDescent="0.3">
      <c r="A8" s="1"/>
      <c r="B8" s="17" t="s">
        <v>24</v>
      </c>
      <c r="C8" s="18" t="s">
        <v>25</v>
      </c>
      <c r="D8" s="19" t="s">
        <v>26</v>
      </c>
      <c r="E8" s="20" t="s">
        <v>0</v>
      </c>
      <c r="F8" s="21" t="s">
        <v>1</v>
      </c>
      <c r="G8" s="59" t="s">
        <v>100</v>
      </c>
      <c r="H8" s="59"/>
      <c r="I8" s="20" t="s">
        <v>2</v>
      </c>
      <c r="J8" s="20" t="s">
        <v>3</v>
      </c>
      <c r="K8" s="20" t="s">
        <v>27</v>
      </c>
    </row>
    <row r="9" spans="1:11" x14ac:dyDescent="0.3">
      <c r="A9" s="1"/>
      <c r="B9" s="22" t="s">
        <v>88</v>
      </c>
      <c r="C9" s="5" t="s">
        <v>28</v>
      </c>
      <c r="D9" s="23" t="s">
        <v>29</v>
      </c>
      <c r="E9" s="50">
        <f>F9-0.25</f>
        <v>7</v>
      </c>
      <c r="F9" s="25">
        <v>7.25</v>
      </c>
      <c r="G9" s="98" t="s">
        <v>52</v>
      </c>
      <c r="H9" s="64"/>
      <c r="I9" s="27">
        <f>F9+0.25</f>
        <v>7.5</v>
      </c>
      <c r="J9" s="27">
        <f>I9+0.25</f>
        <v>7.75</v>
      </c>
      <c r="K9" s="51">
        <f>J9+0.25</f>
        <v>8</v>
      </c>
    </row>
    <row r="10" spans="1:11" x14ac:dyDescent="0.3">
      <c r="A10" s="1"/>
      <c r="B10" s="22" t="s">
        <v>89</v>
      </c>
      <c r="C10" s="5" t="s">
        <v>30</v>
      </c>
      <c r="D10" s="23" t="s">
        <v>29</v>
      </c>
      <c r="E10" s="24">
        <f>F10-0.125</f>
        <v>4.125</v>
      </c>
      <c r="F10" s="25">
        <v>4.25</v>
      </c>
      <c r="G10" s="101" t="s">
        <v>48</v>
      </c>
      <c r="H10" s="64"/>
      <c r="I10" s="27">
        <f>F10+0.125</f>
        <v>4.375</v>
      </c>
      <c r="J10" s="27">
        <f>I10+0.125</f>
        <v>4.5</v>
      </c>
      <c r="K10" s="28">
        <f>J10+0.125</f>
        <v>4.625</v>
      </c>
    </row>
    <row r="11" spans="1:11" x14ac:dyDescent="0.3">
      <c r="A11" s="1"/>
      <c r="B11" s="22" t="s">
        <v>92</v>
      </c>
      <c r="C11" s="5" t="s">
        <v>31</v>
      </c>
      <c r="D11" s="23" t="s">
        <v>32</v>
      </c>
      <c r="E11" s="24">
        <f>F11</f>
        <v>1.25</v>
      </c>
      <c r="F11" s="25">
        <v>1.25</v>
      </c>
      <c r="G11" s="101" t="s">
        <v>48</v>
      </c>
      <c r="H11" s="64"/>
      <c r="I11" s="27">
        <f>F11</f>
        <v>1.25</v>
      </c>
      <c r="J11" s="27">
        <f>I11</f>
        <v>1.25</v>
      </c>
      <c r="K11" s="28">
        <f>J11</f>
        <v>1.25</v>
      </c>
    </row>
    <row r="12" spans="1:11" x14ac:dyDescent="0.3">
      <c r="A12" s="1"/>
      <c r="B12" s="22" t="s">
        <v>90</v>
      </c>
      <c r="C12" s="5" t="s">
        <v>72</v>
      </c>
      <c r="D12" s="23" t="s">
        <v>32</v>
      </c>
      <c r="E12" s="24">
        <f>F12</f>
        <v>0.5</v>
      </c>
      <c r="F12" s="25">
        <v>0.5</v>
      </c>
      <c r="G12" s="101" t="s">
        <v>48</v>
      </c>
      <c r="H12" s="64"/>
      <c r="I12" s="27">
        <f>F12</f>
        <v>0.5</v>
      </c>
      <c r="J12" s="27">
        <f>I12</f>
        <v>0.5</v>
      </c>
      <c r="K12" s="28">
        <f>J12</f>
        <v>0.5</v>
      </c>
    </row>
    <row r="13" spans="1:11" x14ac:dyDescent="0.3">
      <c r="A13" s="1"/>
      <c r="B13" s="22" t="s">
        <v>93</v>
      </c>
      <c r="C13" s="5" t="s">
        <v>33</v>
      </c>
      <c r="D13" s="23" t="s">
        <v>34</v>
      </c>
      <c r="E13" s="24">
        <f>F13-1/2</f>
        <v>15.75</v>
      </c>
      <c r="F13" s="25">
        <v>16.25</v>
      </c>
      <c r="G13" s="101" t="s">
        <v>51</v>
      </c>
      <c r="H13" s="64"/>
      <c r="I13" s="27">
        <f>F13+1/2</f>
        <v>16.75</v>
      </c>
      <c r="J13" s="27">
        <f>I13+1/2</f>
        <v>17.25</v>
      </c>
      <c r="K13" s="28">
        <f>J13+1/2</f>
        <v>17.75</v>
      </c>
    </row>
    <row r="14" spans="1:11" x14ac:dyDescent="0.3">
      <c r="A14" s="1"/>
      <c r="B14" s="22" t="s">
        <v>0</v>
      </c>
      <c r="C14" s="5" t="s">
        <v>35</v>
      </c>
      <c r="D14" s="23" t="s">
        <v>32</v>
      </c>
      <c r="E14" s="24">
        <f>F14</f>
        <v>1.75</v>
      </c>
      <c r="F14" s="25">
        <v>1.75</v>
      </c>
      <c r="G14" s="98" t="s">
        <v>50</v>
      </c>
      <c r="H14" s="64"/>
      <c r="I14" s="27">
        <f>F14</f>
        <v>1.75</v>
      </c>
      <c r="J14" s="27">
        <f>I14</f>
        <v>1.75</v>
      </c>
      <c r="K14" s="28">
        <f>J14</f>
        <v>1.75</v>
      </c>
    </row>
    <row r="15" spans="1:11" x14ac:dyDescent="0.3">
      <c r="A15" s="1"/>
      <c r="B15" s="22" t="s">
        <v>94</v>
      </c>
      <c r="C15" s="5" t="s">
        <v>73</v>
      </c>
      <c r="D15" s="23" t="s">
        <v>34</v>
      </c>
      <c r="E15" s="24">
        <f>F15-1/2</f>
        <v>14.125</v>
      </c>
      <c r="F15" s="25">
        <v>14.625</v>
      </c>
      <c r="G15" s="101" t="s">
        <v>50</v>
      </c>
      <c r="H15" s="64"/>
      <c r="I15" s="27">
        <f>F15+1/2</f>
        <v>15.125</v>
      </c>
      <c r="J15" s="27">
        <f>I15+1/2</f>
        <v>15.625</v>
      </c>
      <c r="K15" s="28">
        <f>J15+1/2</f>
        <v>16.125</v>
      </c>
    </row>
    <row r="16" spans="1:11" x14ac:dyDescent="0.3">
      <c r="A16" s="1"/>
      <c r="B16" s="22" t="s">
        <v>95</v>
      </c>
      <c r="C16" s="5" t="s">
        <v>74</v>
      </c>
      <c r="D16" s="23" t="s">
        <v>34</v>
      </c>
      <c r="E16" s="24">
        <f>F16-1/2</f>
        <v>14.875</v>
      </c>
      <c r="F16" s="25">
        <v>15.375</v>
      </c>
      <c r="G16" s="101" t="s">
        <v>50</v>
      </c>
      <c r="H16" s="64"/>
      <c r="I16" s="27">
        <f>F16+1/2</f>
        <v>15.875</v>
      </c>
      <c r="J16" s="27">
        <f>I16+1/2</f>
        <v>16.375</v>
      </c>
      <c r="K16" s="28">
        <f>J16+1/2</f>
        <v>16.875</v>
      </c>
    </row>
    <row r="17" spans="1:11" x14ac:dyDescent="0.3">
      <c r="A17" s="1"/>
      <c r="B17" s="22" t="s">
        <v>96</v>
      </c>
      <c r="C17" s="5" t="s">
        <v>37</v>
      </c>
      <c r="D17" s="23" t="s">
        <v>38</v>
      </c>
      <c r="E17" s="24">
        <f>F17-2</f>
        <v>37.5</v>
      </c>
      <c r="F17" s="25">
        <v>39.5</v>
      </c>
      <c r="G17" s="101" t="s">
        <v>49</v>
      </c>
      <c r="H17" s="64"/>
      <c r="I17" s="27">
        <f>F17+2</f>
        <v>41.5</v>
      </c>
      <c r="J17" s="27">
        <f>I17+2</f>
        <v>43.5</v>
      </c>
      <c r="K17" s="28">
        <f>J17+2</f>
        <v>45.5</v>
      </c>
    </row>
    <row r="18" spans="1:11" x14ac:dyDescent="0.3">
      <c r="A18" s="1"/>
      <c r="B18" s="22" t="s">
        <v>97</v>
      </c>
      <c r="C18" s="5" t="s">
        <v>39</v>
      </c>
      <c r="D18" s="23" t="s">
        <v>38</v>
      </c>
      <c r="E18" s="24">
        <f>F18-2</f>
        <v>35.75</v>
      </c>
      <c r="F18" s="25">
        <v>37.75</v>
      </c>
      <c r="G18" s="101" t="s">
        <v>48</v>
      </c>
      <c r="H18" s="64"/>
      <c r="I18" s="27">
        <f>F18+2</f>
        <v>39.75</v>
      </c>
      <c r="J18" s="27">
        <f>I18+2</f>
        <v>41.75</v>
      </c>
      <c r="K18" s="28">
        <f>J18+2</f>
        <v>43.75</v>
      </c>
    </row>
    <row r="19" spans="1:11" x14ac:dyDescent="0.3">
      <c r="A19" s="1"/>
      <c r="B19" s="22" t="s">
        <v>98</v>
      </c>
      <c r="C19" s="5" t="s">
        <v>40</v>
      </c>
      <c r="D19" s="23" t="s">
        <v>34</v>
      </c>
      <c r="E19" s="24">
        <f>F19-3/4</f>
        <v>18.625</v>
      </c>
      <c r="F19" s="25">
        <v>19.375</v>
      </c>
      <c r="G19" s="101" t="s">
        <v>48</v>
      </c>
      <c r="H19" s="64"/>
      <c r="I19" s="27">
        <f>F19+3/4</f>
        <v>20.125</v>
      </c>
      <c r="J19" s="27">
        <f>I19+3/4</f>
        <v>20.875</v>
      </c>
      <c r="K19" s="28">
        <f>J19+3/4</f>
        <v>21.625</v>
      </c>
    </row>
    <row r="20" spans="1:11" s="16" customFormat="1" ht="15" customHeight="1" x14ac:dyDescent="0.25">
      <c r="A20" s="1"/>
      <c r="B20" s="22">
        <v>12</v>
      </c>
      <c r="C20" s="5" t="s">
        <v>41</v>
      </c>
      <c r="D20" s="23" t="s">
        <v>29</v>
      </c>
      <c r="E20" s="30">
        <f>F20-0.375</f>
        <v>7.625</v>
      </c>
      <c r="F20" s="29">
        <v>8</v>
      </c>
      <c r="G20" s="101" t="s">
        <v>50</v>
      </c>
      <c r="H20" s="64"/>
      <c r="I20" s="31">
        <f>F20+0.375</f>
        <v>8.375</v>
      </c>
      <c r="J20" s="31">
        <f>I20+0.375</f>
        <v>8.75</v>
      </c>
      <c r="K20" s="25">
        <f>J20+0.375</f>
        <v>9.125</v>
      </c>
    </row>
    <row r="21" spans="1:11" s="1" customFormat="1" ht="15" customHeight="1" x14ac:dyDescent="0.25">
      <c r="B21" s="22">
        <v>13</v>
      </c>
      <c r="C21" s="5" t="s">
        <v>105</v>
      </c>
      <c r="D21" s="23" t="s">
        <v>29</v>
      </c>
      <c r="E21" s="30">
        <f>F21-0.128</f>
        <v>2.7469999999999999</v>
      </c>
      <c r="F21" s="25">
        <v>2.875</v>
      </c>
      <c r="G21" s="98" t="s">
        <v>52</v>
      </c>
      <c r="H21" s="64"/>
      <c r="I21" s="32">
        <f>F21+0.125</f>
        <v>3</v>
      </c>
      <c r="J21" s="31">
        <f>I21+0.25</f>
        <v>3.25</v>
      </c>
      <c r="K21" s="25">
        <f>J21+0.25</f>
        <v>3.5</v>
      </c>
    </row>
    <row r="22" spans="1:11" s="16" customFormat="1" ht="15" customHeight="1" x14ac:dyDescent="0.25">
      <c r="A22" s="1"/>
      <c r="B22" s="22">
        <v>14</v>
      </c>
      <c r="C22" s="5" t="s">
        <v>106</v>
      </c>
      <c r="D22" s="23" t="s">
        <v>34</v>
      </c>
      <c r="E22" s="30">
        <f>F22-0.75</f>
        <v>13.5</v>
      </c>
      <c r="F22" s="25">
        <v>14.25</v>
      </c>
      <c r="G22" s="101" t="s">
        <v>52</v>
      </c>
      <c r="H22" s="64"/>
      <c r="I22" s="32">
        <f>F22+0.75</f>
        <v>15</v>
      </c>
      <c r="J22" s="31">
        <f>I22+0.75</f>
        <v>15.75</v>
      </c>
      <c r="K22" s="25">
        <f>J22+0.75</f>
        <v>16.5</v>
      </c>
    </row>
    <row r="23" spans="1:11" s="16" customFormat="1" ht="15" customHeight="1" x14ac:dyDescent="0.25">
      <c r="A23" s="1"/>
      <c r="B23" s="22">
        <v>15</v>
      </c>
      <c r="C23" s="5" t="s">
        <v>107</v>
      </c>
      <c r="D23" s="23" t="s">
        <v>34</v>
      </c>
      <c r="E23" s="30">
        <f>F23-0.5</f>
        <v>12.5</v>
      </c>
      <c r="F23" s="29">
        <v>13</v>
      </c>
      <c r="G23" s="102" t="s">
        <v>57</v>
      </c>
      <c r="H23" s="64"/>
      <c r="I23" s="31">
        <f>F23+0.5</f>
        <v>13.5</v>
      </c>
      <c r="J23" s="32">
        <f>I23+0.5</f>
        <v>14</v>
      </c>
      <c r="K23" s="25">
        <f>J23+0.5</f>
        <v>14.5</v>
      </c>
    </row>
    <row r="24" spans="1:11" x14ac:dyDescent="0.3">
      <c r="A24" s="1"/>
      <c r="B24" s="22" t="s">
        <v>1</v>
      </c>
      <c r="C24" s="5" t="s">
        <v>44</v>
      </c>
      <c r="D24" s="23" t="s">
        <v>34</v>
      </c>
      <c r="E24" s="30">
        <f>F24-0.25</f>
        <v>27.25</v>
      </c>
      <c r="F24" s="25">
        <v>27.5</v>
      </c>
      <c r="G24" s="102" t="s">
        <v>48</v>
      </c>
      <c r="H24" s="64"/>
      <c r="I24" s="32">
        <f>F24+0.5</f>
        <v>28</v>
      </c>
      <c r="J24" s="31">
        <f>I24+1/2</f>
        <v>28.5</v>
      </c>
      <c r="K24" s="29">
        <f>J24+0.5</f>
        <v>29</v>
      </c>
    </row>
    <row r="25" spans="1:11" x14ac:dyDescent="0.3">
      <c r="A25" s="1"/>
      <c r="B25" s="22" t="s">
        <v>91</v>
      </c>
      <c r="C25" s="5" t="s">
        <v>71</v>
      </c>
      <c r="D25" s="23" t="s">
        <v>29</v>
      </c>
      <c r="E25" s="24">
        <f>F25-0.25</f>
        <v>7.75</v>
      </c>
      <c r="F25" s="29">
        <v>8</v>
      </c>
      <c r="G25" s="100" t="s">
        <v>52</v>
      </c>
      <c r="H25" s="64"/>
      <c r="I25" s="27">
        <f>F25+0.25</f>
        <v>8.25</v>
      </c>
      <c r="J25" s="27">
        <f>I25+0.25</f>
        <v>8.5</v>
      </c>
      <c r="K25" s="28">
        <f>J25+0.25</f>
        <v>8.75</v>
      </c>
    </row>
    <row r="26" spans="1:11" x14ac:dyDescent="0.3">
      <c r="A26" s="1"/>
      <c r="B26" s="22" t="s">
        <v>99</v>
      </c>
      <c r="C26" s="5" t="s">
        <v>75</v>
      </c>
      <c r="D26" s="23" t="s">
        <v>29</v>
      </c>
      <c r="E26" s="24">
        <f>F26-0.125</f>
        <v>3.875</v>
      </c>
      <c r="F26" s="29">
        <v>4</v>
      </c>
      <c r="G26" s="100" t="s">
        <v>51</v>
      </c>
      <c r="H26" s="64"/>
      <c r="I26" s="27">
        <f>F26+0.125</f>
        <v>4.125</v>
      </c>
      <c r="J26" s="27">
        <f t="shared" ref="J26:K26" si="0">I26+0.125</f>
        <v>4.25</v>
      </c>
      <c r="K26" s="28">
        <f t="shared" si="0"/>
        <v>4.375</v>
      </c>
    </row>
    <row r="27" spans="1:11" s="91" customFormat="1" x14ac:dyDescent="0.3">
      <c r="A27" s="83"/>
      <c r="B27" s="84" t="s">
        <v>92</v>
      </c>
      <c r="C27" s="85" t="s">
        <v>117</v>
      </c>
      <c r="D27" s="86" t="s">
        <v>32</v>
      </c>
      <c r="E27" s="87">
        <f>F27</f>
        <v>2.25</v>
      </c>
      <c r="F27" s="88">
        <v>2.25</v>
      </c>
      <c r="G27" s="99" t="s">
        <v>51</v>
      </c>
      <c r="H27" s="89"/>
      <c r="I27" s="90">
        <f>F27</f>
        <v>2.25</v>
      </c>
      <c r="J27" s="90">
        <f>I27</f>
        <v>2.25</v>
      </c>
      <c r="K27" s="87">
        <f>J27</f>
        <v>2.25</v>
      </c>
    </row>
    <row r="28" spans="1:11" x14ac:dyDescent="0.3">
      <c r="A28" s="1"/>
      <c r="B28" s="65"/>
      <c r="C28" s="66"/>
      <c r="D28" s="67"/>
      <c r="E28" s="68"/>
      <c r="F28" s="69"/>
      <c r="G28" s="70"/>
      <c r="H28" s="70"/>
      <c r="I28" s="71"/>
      <c r="J28" s="71"/>
      <c r="K28" s="72"/>
    </row>
    <row r="29" spans="1:11" s="52" customFormat="1" ht="24.9" customHeight="1" x14ac:dyDescent="0.35">
      <c r="B29" s="58"/>
      <c r="C29" s="55" t="s">
        <v>123</v>
      </c>
      <c r="D29" s="58"/>
      <c r="E29" s="58"/>
      <c r="G29" s="62"/>
      <c r="H29" s="62"/>
      <c r="I29" s="62"/>
      <c r="J29" s="62"/>
    </row>
    <row r="30" spans="1:11" s="52" customFormat="1" ht="18.75" customHeight="1" x14ac:dyDescent="0.35">
      <c r="B30" s="58"/>
      <c r="C30" s="55"/>
      <c r="D30" s="58"/>
      <c r="E30" s="58"/>
      <c r="G30" s="62"/>
      <c r="H30" s="62"/>
      <c r="I30" s="62"/>
      <c r="J30" s="62"/>
    </row>
    <row r="31" spans="1:11" s="77" customFormat="1" ht="24.9" customHeight="1" x14ac:dyDescent="0.3">
      <c r="B31" s="78">
        <v>1</v>
      </c>
      <c r="C31" s="79" t="s">
        <v>118</v>
      </c>
      <c r="D31" s="80"/>
      <c r="E31" s="80"/>
    </row>
    <row r="32" spans="1:11" s="77" customFormat="1" ht="24.9" customHeight="1" x14ac:dyDescent="0.3">
      <c r="B32" s="78">
        <v>2</v>
      </c>
      <c r="C32" s="79" t="s">
        <v>124</v>
      </c>
      <c r="D32" s="80"/>
      <c r="E32" s="80"/>
    </row>
    <row r="33" spans="2:5" s="77" customFormat="1" ht="24.9" customHeight="1" x14ac:dyDescent="0.3">
      <c r="B33" s="78">
        <v>3</v>
      </c>
      <c r="C33" s="74" t="s">
        <v>119</v>
      </c>
      <c r="D33" s="80"/>
      <c r="E33" s="80"/>
    </row>
    <row r="34" spans="2:5" s="77" customFormat="1" ht="24.9" customHeight="1" x14ac:dyDescent="0.3">
      <c r="B34" s="78">
        <v>4</v>
      </c>
      <c r="C34" s="74" t="s">
        <v>125</v>
      </c>
      <c r="D34" s="80"/>
      <c r="E34" s="80"/>
    </row>
    <row r="35" spans="2:5" s="77" customFormat="1" ht="24.9" customHeight="1" x14ac:dyDescent="0.3">
      <c r="B35" s="78">
        <v>5</v>
      </c>
      <c r="C35" s="74" t="s">
        <v>115</v>
      </c>
      <c r="D35" s="80"/>
      <c r="E35" s="80"/>
    </row>
    <row r="36" spans="2:5" s="77" customFormat="1" ht="24.9" customHeight="1" x14ac:dyDescent="0.3">
      <c r="B36" s="78">
        <v>6</v>
      </c>
      <c r="C36" s="97" t="s">
        <v>126</v>
      </c>
      <c r="D36" s="80"/>
      <c r="E36" s="80"/>
    </row>
    <row r="37" spans="2:5" s="77" customFormat="1" ht="24.9" customHeight="1" x14ac:dyDescent="0.3">
      <c r="B37" s="78">
        <v>7</v>
      </c>
      <c r="C37" s="73" t="s">
        <v>112</v>
      </c>
      <c r="D37" s="80"/>
      <c r="E37" s="80"/>
    </row>
    <row r="38" spans="2:5" s="81" customFormat="1" ht="24.9" customHeight="1" x14ac:dyDescent="0.3">
      <c r="B38" s="78">
        <v>8</v>
      </c>
      <c r="C38" s="74" t="s">
        <v>102</v>
      </c>
      <c r="D38" s="80"/>
      <c r="E38" s="80"/>
    </row>
    <row r="39" spans="2:5" s="82" customFormat="1" ht="24.9" customHeight="1" x14ac:dyDescent="0.3">
      <c r="B39" s="78">
        <v>9</v>
      </c>
      <c r="C39" s="73" t="s">
        <v>113</v>
      </c>
    </row>
    <row r="40" spans="2:5" s="41" customFormat="1" ht="24.9" customHeight="1" x14ac:dyDescent="0.3">
      <c r="B40" s="75"/>
      <c r="C40" s="73"/>
    </row>
    <row r="41" spans="2:5" s="41" customFormat="1" ht="24.9" customHeight="1" x14ac:dyDescent="0.35">
      <c r="B41" s="44"/>
      <c r="C41" s="55" t="s">
        <v>114</v>
      </c>
    </row>
    <row r="42" spans="2:5" s="41" customFormat="1" ht="24.9" customHeight="1" x14ac:dyDescent="0.3">
      <c r="B42" s="44"/>
    </row>
    <row r="43" spans="2:5" s="41" customFormat="1" ht="24.9" customHeight="1" x14ac:dyDescent="0.3">
      <c r="B43" s="44"/>
      <c r="C43" s="76" t="s">
        <v>104</v>
      </c>
    </row>
    <row r="44" spans="2:5" ht="23.1" customHeight="1" x14ac:dyDescent="0.3">
      <c r="C44" s="63" t="s">
        <v>120</v>
      </c>
    </row>
    <row r="45" spans="2:5" ht="23.1" customHeight="1" x14ac:dyDescent="0.3">
      <c r="C45" s="63" t="s">
        <v>121</v>
      </c>
    </row>
    <row r="46" spans="2:5" ht="23.1" customHeight="1" x14ac:dyDescent="0.3">
      <c r="C46" s="60" t="s">
        <v>122</v>
      </c>
    </row>
    <row r="47" spans="2:5" ht="23.1" customHeight="1" x14ac:dyDescent="0.3">
      <c r="C47" s="42"/>
    </row>
    <row r="48" spans="2:5" ht="23.1" customHeight="1" x14ac:dyDescent="0.3">
      <c r="C48" s="42"/>
    </row>
    <row r="49" spans="3:3" ht="15.6" x14ac:dyDescent="0.3">
      <c r="C49" s="61"/>
    </row>
  </sheetData>
  <mergeCells count="3">
    <mergeCell ref="B2:K2"/>
    <mergeCell ref="K3:K6"/>
    <mergeCell ref="G6:H6"/>
  </mergeCells>
  <printOptions horizontalCentered="1" verticalCentered="1"/>
  <pageMargins left="0" right="0" top="0" bottom="0" header="0" footer="0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 NECK TEE </vt:lpstr>
      <vt:lpstr>PPS</vt:lpstr>
      <vt:lpstr>PPS!Print_Area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kuchela kushal</dc:creator>
  <cp:lastModifiedBy>ANIL</cp:lastModifiedBy>
  <cp:lastPrinted>2021-01-11T09:03:31Z</cp:lastPrinted>
  <dcterms:created xsi:type="dcterms:W3CDTF">2015-06-18T07:34:20Z</dcterms:created>
  <dcterms:modified xsi:type="dcterms:W3CDTF">2021-01-11T09:03:39Z</dcterms:modified>
</cp:coreProperties>
</file>